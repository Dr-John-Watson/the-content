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Sprint_Data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Executive_Dashboard" sheetId="4" state="visible" r:id="rId4"/>
    <sheet xmlns:r="http://schemas.openxmlformats.org/officeDocument/2006/relationships" name="Team_Health" sheetId="5" state="visible" r:id="rId5"/>
    <sheet xmlns:r="http://schemas.openxmlformats.org/officeDocument/2006/relationships" name="Bottlenecks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Sprint Length (days)</t>
        </is>
      </c>
      <c r="B2" t="n">
        <v>10</v>
      </c>
    </row>
    <row r="3">
      <c r="A3" t="inlineStr">
        <is>
          <t>Target Commitment %</t>
        </is>
      </c>
      <c r="B3" t="n">
        <v>90</v>
      </c>
    </row>
    <row r="4">
      <c r="A4" t="inlineStr">
        <is>
          <t>Target Carry-over %</t>
        </is>
      </c>
      <c r="B4" t="n">
        <v>10</v>
      </c>
    </row>
    <row r="5">
      <c r="A5" t="inlineStr">
        <is>
          <t>Target Cycle Time</t>
        </is>
      </c>
      <c r="B5" t="n">
        <v>6</v>
      </c>
    </row>
    <row r="6">
      <c r="A6" t="inlineStr">
        <is>
          <t>Target Prod Ready %</t>
        </is>
      </c>
      <c r="B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1" t="inlineStr">
        <is>
          <t>Sprint</t>
        </is>
      </c>
      <c r="B1" s="1" t="inlineStr">
        <is>
          <t>Story Key</t>
        </is>
      </c>
      <c r="C1" s="1" t="inlineStr">
        <is>
          <t>Title</t>
        </is>
      </c>
      <c r="D1" s="1" t="inlineStr">
        <is>
          <t>Team</t>
        </is>
      </c>
      <c r="E1" s="1" t="inlineStr">
        <is>
          <t>Story Type</t>
        </is>
      </c>
      <c r="F1" s="1" t="inlineStr">
        <is>
          <t>Story Points</t>
        </is>
      </c>
      <c r="G1" s="1" t="inlineStr">
        <is>
          <t>Committed(Y/N)</t>
        </is>
      </c>
      <c r="H1" s="1" t="inlineStr">
        <is>
          <t>Completed(Y/N)</t>
        </is>
      </c>
      <c r="I1" s="1" t="inlineStr">
        <is>
          <t>Production Ready(Y/N)</t>
        </is>
      </c>
      <c r="J1" s="1" t="inlineStr">
        <is>
          <t>Carry Over(Y/N)</t>
        </is>
      </c>
      <c r="K1" s="1" t="inlineStr">
        <is>
          <t>Created</t>
        </is>
      </c>
      <c r="L1" s="1" t="inlineStr">
        <is>
          <t>In Progress</t>
        </is>
      </c>
      <c r="M1" s="1" t="inlineStr">
        <is>
          <t>Done</t>
        </is>
      </c>
      <c r="N1" s="1" t="inlineStr">
        <is>
          <t>Blocked Days</t>
        </is>
      </c>
      <c r="O1" s="1" t="inlineStr">
        <is>
          <t>Unplanned(Y/N)</t>
        </is>
      </c>
    </row>
    <row r="2">
      <c r="K2" t="inlineStr"/>
      <c r="L2" t="inlineStr"/>
      <c r="M2" t="inlineStr"/>
      <c r="N2" t="n">
        <v>0</v>
      </c>
    </row>
    <row r="3">
      <c r="K3" t="inlineStr"/>
      <c r="L3" t="inlineStr"/>
      <c r="M3" t="inlineStr"/>
      <c r="N3" t="n">
        <v>0</v>
      </c>
    </row>
    <row r="4">
      <c r="K4" t="inlineStr"/>
      <c r="L4" t="inlineStr"/>
      <c r="M4" t="inlineStr"/>
      <c r="N4" t="n">
        <v>0</v>
      </c>
    </row>
    <row r="5">
      <c r="K5" t="inlineStr"/>
      <c r="L5" t="inlineStr"/>
      <c r="M5" t="inlineStr"/>
      <c r="N5" t="n">
        <v>0</v>
      </c>
    </row>
    <row r="6">
      <c r="K6" t="inlineStr"/>
      <c r="L6" t="inlineStr"/>
      <c r="M6" t="inlineStr"/>
      <c r="N6" t="n">
        <v>0</v>
      </c>
    </row>
    <row r="7">
      <c r="K7" t="inlineStr"/>
      <c r="L7" t="inlineStr"/>
      <c r="M7" t="inlineStr"/>
      <c r="N7" t="n">
        <v>0</v>
      </c>
    </row>
    <row r="8">
      <c r="K8" t="inlineStr"/>
      <c r="L8" t="inlineStr"/>
      <c r="M8" t="inlineStr"/>
      <c r="N8" t="n">
        <v>0</v>
      </c>
    </row>
    <row r="9">
      <c r="K9" t="inlineStr"/>
      <c r="L9" t="inlineStr"/>
      <c r="M9" t="inlineStr"/>
      <c r="N9" t="n">
        <v>0</v>
      </c>
    </row>
    <row r="10">
      <c r="K10" t="inlineStr"/>
      <c r="L10" t="inlineStr"/>
      <c r="M10" t="inlineStr"/>
      <c r="N10" t="n">
        <v>0</v>
      </c>
    </row>
    <row r="11">
      <c r="K11" t="inlineStr"/>
      <c r="L11" t="inlineStr"/>
      <c r="M11" t="inlineStr"/>
      <c r="N11" t="n">
        <v>0</v>
      </c>
    </row>
    <row r="12">
      <c r="K12" t="inlineStr"/>
      <c r="L12" t="inlineStr"/>
      <c r="M12" t="inlineStr"/>
      <c r="N12" t="n">
        <v>0</v>
      </c>
    </row>
    <row r="13">
      <c r="K13" t="inlineStr"/>
      <c r="L13" t="inlineStr"/>
      <c r="M13" t="inlineStr"/>
      <c r="N13" t="n">
        <v>0</v>
      </c>
    </row>
    <row r="14">
      <c r="K14" t="inlineStr"/>
      <c r="L14" t="inlineStr"/>
      <c r="M14" t="inlineStr"/>
      <c r="N14" t="n">
        <v>0</v>
      </c>
    </row>
    <row r="15">
      <c r="K15" t="inlineStr"/>
      <c r="L15" t="inlineStr"/>
      <c r="M15" t="inlineStr"/>
      <c r="N15" t="n">
        <v>0</v>
      </c>
    </row>
    <row r="16">
      <c r="K16" t="inlineStr"/>
      <c r="L16" t="inlineStr"/>
      <c r="M16" t="inlineStr"/>
      <c r="N16" t="n">
        <v>0</v>
      </c>
    </row>
    <row r="17">
      <c r="K17" t="inlineStr"/>
      <c r="L17" t="inlineStr"/>
      <c r="M17" t="inlineStr"/>
      <c r="N17" t="n">
        <v>0</v>
      </c>
    </row>
    <row r="18">
      <c r="K18" t="inlineStr"/>
      <c r="L18" t="inlineStr"/>
      <c r="M18" t="inlineStr"/>
      <c r="N18" t="n">
        <v>0</v>
      </c>
    </row>
    <row r="19">
      <c r="K19" t="inlineStr"/>
      <c r="L19" t="inlineStr"/>
      <c r="M19" t="inlineStr"/>
      <c r="N19" t="n">
        <v>0</v>
      </c>
    </row>
    <row r="20">
      <c r="K20" t="inlineStr"/>
      <c r="L20" t="inlineStr"/>
      <c r="M20" t="inlineStr"/>
      <c r="N20" t="n">
        <v>0</v>
      </c>
    </row>
    <row r="21">
      <c r="K21" t="inlineStr"/>
      <c r="L21" t="inlineStr"/>
      <c r="M21" t="inlineStr"/>
      <c r="N21" t="n">
        <v>0</v>
      </c>
    </row>
    <row r="22">
      <c r="K22" t="inlineStr"/>
      <c r="L22" t="inlineStr"/>
      <c r="M22" t="inlineStr"/>
      <c r="N22" t="n">
        <v>0</v>
      </c>
    </row>
    <row r="23">
      <c r="K23" t="inlineStr"/>
      <c r="L23" t="inlineStr"/>
      <c r="M23" t="inlineStr"/>
      <c r="N23" t="n">
        <v>0</v>
      </c>
    </row>
    <row r="24">
      <c r="K24" t="inlineStr"/>
      <c r="L24" t="inlineStr"/>
      <c r="M24" t="inlineStr"/>
      <c r="N24" t="n">
        <v>0</v>
      </c>
    </row>
    <row r="25">
      <c r="K25" t="inlineStr"/>
      <c r="L25" t="inlineStr"/>
      <c r="M25" t="inlineStr"/>
      <c r="N25" t="n">
        <v>0</v>
      </c>
    </row>
    <row r="26">
      <c r="K26" t="inlineStr"/>
      <c r="L26" t="inlineStr"/>
      <c r="M26" t="inlineStr"/>
      <c r="N26" t="n">
        <v>0</v>
      </c>
    </row>
    <row r="27">
      <c r="K27" t="inlineStr"/>
      <c r="L27" t="inlineStr"/>
      <c r="M27" t="inlineStr"/>
      <c r="N27" t="n">
        <v>0</v>
      </c>
    </row>
    <row r="28">
      <c r="K28" t="inlineStr"/>
      <c r="L28" t="inlineStr"/>
      <c r="M28" t="inlineStr"/>
      <c r="N28" t="n">
        <v>0</v>
      </c>
    </row>
    <row r="29">
      <c r="K29" t="inlineStr"/>
      <c r="L29" t="inlineStr"/>
      <c r="M29" t="inlineStr"/>
      <c r="N29" t="n">
        <v>0</v>
      </c>
    </row>
    <row r="30">
      <c r="K30" t="inlineStr"/>
      <c r="L30" t="inlineStr"/>
      <c r="M30" t="inlineStr"/>
      <c r="N30" t="n">
        <v>0</v>
      </c>
    </row>
    <row r="31">
      <c r="K31" t="inlineStr"/>
      <c r="L31" t="inlineStr"/>
      <c r="M31" t="inlineStr"/>
      <c r="N31" t="n">
        <v>0</v>
      </c>
    </row>
    <row r="32">
      <c r="K32" t="inlineStr"/>
      <c r="L32" t="inlineStr"/>
      <c r="M32" t="inlineStr"/>
      <c r="N32" t="n">
        <v>0</v>
      </c>
    </row>
    <row r="33">
      <c r="K33" t="inlineStr"/>
      <c r="L33" t="inlineStr"/>
      <c r="M33" t="inlineStr"/>
      <c r="N33" t="n">
        <v>0</v>
      </c>
    </row>
    <row r="34">
      <c r="K34" t="inlineStr"/>
      <c r="L34" t="inlineStr"/>
      <c r="M34" t="inlineStr"/>
      <c r="N34" t="n">
        <v>0</v>
      </c>
    </row>
    <row r="35">
      <c r="K35" t="inlineStr"/>
      <c r="L35" t="inlineStr"/>
      <c r="M35" t="inlineStr"/>
      <c r="N35" t="n">
        <v>0</v>
      </c>
    </row>
    <row r="36">
      <c r="K36" t="inlineStr"/>
      <c r="L36" t="inlineStr"/>
      <c r="M36" t="inlineStr"/>
      <c r="N36" t="n">
        <v>0</v>
      </c>
    </row>
    <row r="37">
      <c r="K37" t="inlineStr"/>
      <c r="L37" t="inlineStr"/>
      <c r="M37" t="inlineStr"/>
      <c r="N37" t="n">
        <v>0</v>
      </c>
    </row>
    <row r="38">
      <c r="K38" t="inlineStr"/>
      <c r="L38" t="inlineStr"/>
      <c r="M38" t="inlineStr"/>
      <c r="N38" t="n">
        <v>0</v>
      </c>
    </row>
    <row r="39">
      <c r="K39" t="inlineStr"/>
      <c r="L39" t="inlineStr"/>
      <c r="M39" t="inlineStr"/>
      <c r="N39" t="n">
        <v>0</v>
      </c>
    </row>
    <row r="40">
      <c r="K40" t="inlineStr"/>
      <c r="L40" t="inlineStr"/>
      <c r="M40" t="inlineStr"/>
      <c r="N40" t="n">
        <v>0</v>
      </c>
    </row>
    <row r="41">
      <c r="K41" t="inlineStr"/>
      <c r="L41" t="inlineStr"/>
      <c r="M41" t="inlineStr"/>
      <c r="N41" t="n">
        <v>0</v>
      </c>
    </row>
    <row r="42">
      <c r="K42" t="inlineStr"/>
      <c r="L42" t="inlineStr"/>
      <c r="M42" t="inlineStr"/>
      <c r="N42" t="n">
        <v>0</v>
      </c>
    </row>
    <row r="43">
      <c r="K43" t="inlineStr"/>
      <c r="L43" t="inlineStr"/>
      <c r="M43" t="inlineStr"/>
      <c r="N43" t="n">
        <v>0</v>
      </c>
    </row>
    <row r="44">
      <c r="K44" t="inlineStr"/>
      <c r="L44" t="inlineStr"/>
      <c r="M44" t="inlineStr"/>
      <c r="N44" t="n">
        <v>0</v>
      </c>
    </row>
    <row r="45">
      <c r="K45" t="inlineStr"/>
      <c r="L45" t="inlineStr"/>
      <c r="M45" t="inlineStr"/>
      <c r="N45" t="n">
        <v>0</v>
      </c>
    </row>
    <row r="46">
      <c r="K46" t="inlineStr"/>
      <c r="L46" t="inlineStr"/>
      <c r="M46" t="inlineStr"/>
      <c r="N46" t="n">
        <v>0</v>
      </c>
    </row>
    <row r="47">
      <c r="K47" t="inlineStr"/>
      <c r="L47" t="inlineStr"/>
      <c r="M47" t="inlineStr"/>
      <c r="N47" t="n">
        <v>0</v>
      </c>
    </row>
    <row r="48">
      <c r="K48" t="inlineStr"/>
      <c r="L48" t="inlineStr"/>
      <c r="M48" t="inlineStr"/>
      <c r="N48" t="n">
        <v>0</v>
      </c>
    </row>
    <row r="49">
      <c r="K49" t="inlineStr"/>
      <c r="L49" t="inlineStr"/>
      <c r="M49" t="inlineStr"/>
      <c r="N49" t="n">
        <v>0</v>
      </c>
    </row>
    <row r="50">
      <c r="K50" t="inlineStr"/>
      <c r="L50" t="inlineStr"/>
      <c r="M50" t="inlineStr"/>
      <c r="N50" t="n">
        <v>0</v>
      </c>
    </row>
    <row r="51">
      <c r="K51" t="inlineStr"/>
      <c r="L51" t="inlineStr"/>
      <c r="M51" t="inlineStr"/>
      <c r="N51" t="n">
        <v>0</v>
      </c>
    </row>
    <row r="52">
      <c r="K52" t="inlineStr"/>
      <c r="L52" t="inlineStr"/>
      <c r="M52" t="inlineStr"/>
      <c r="N52" t="n">
        <v>0</v>
      </c>
    </row>
    <row r="53">
      <c r="K53" t="inlineStr"/>
      <c r="L53" t="inlineStr"/>
      <c r="M53" t="inlineStr"/>
      <c r="N53" t="n">
        <v>0</v>
      </c>
    </row>
    <row r="54">
      <c r="K54" t="inlineStr"/>
      <c r="L54" t="inlineStr"/>
      <c r="M54" t="inlineStr"/>
      <c r="N54" t="n">
        <v>0</v>
      </c>
    </row>
    <row r="55">
      <c r="K55" t="inlineStr"/>
      <c r="L55" t="inlineStr"/>
      <c r="M55" t="inlineStr"/>
      <c r="N55" t="n">
        <v>0</v>
      </c>
    </row>
    <row r="56">
      <c r="K56" t="inlineStr"/>
      <c r="L56" t="inlineStr"/>
      <c r="M56" t="inlineStr"/>
      <c r="N56" t="n">
        <v>0</v>
      </c>
    </row>
    <row r="57">
      <c r="K57" t="inlineStr"/>
      <c r="L57" t="inlineStr"/>
      <c r="M57" t="inlineStr"/>
      <c r="N57" t="n">
        <v>0</v>
      </c>
    </row>
    <row r="58">
      <c r="K58" t="inlineStr"/>
      <c r="L58" t="inlineStr"/>
      <c r="M58" t="inlineStr"/>
      <c r="N58" t="n">
        <v>0</v>
      </c>
    </row>
    <row r="59">
      <c r="K59" t="inlineStr"/>
      <c r="L59" t="inlineStr"/>
      <c r="M59" t="inlineStr"/>
      <c r="N59" t="n">
        <v>0</v>
      </c>
    </row>
    <row r="60">
      <c r="K60" t="inlineStr"/>
      <c r="L60" t="inlineStr"/>
      <c r="M60" t="inlineStr"/>
      <c r="N60" t="n">
        <v>0</v>
      </c>
    </row>
    <row r="61">
      <c r="K61" t="inlineStr"/>
      <c r="L61" t="inlineStr"/>
      <c r="M61" t="inlineStr"/>
      <c r="N61" t="n">
        <v>0</v>
      </c>
    </row>
    <row r="62">
      <c r="K62" t="inlineStr"/>
      <c r="L62" t="inlineStr"/>
      <c r="M62" t="inlineStr"/>
      <c r="N62" t="n">
        <v>0</v>
      </c>
    </row>
    <row r="63">
      <c r="K63" t="inlineStr"/>
      <c r="L63" t="inlineStr"/>
      <c r="M63" t="inlineStr"/>
      <c r="N63" t="n">
        <v>0</v>
      </c>
    </row>
    <row r="64">
      <c r="K64" t="inlineStr"/>
      <c r="L64" t="inlineStr"/>
      <c r="M64" t="inlineStr"/>
      <c r="N64" t="n">
        <v>0</v>
      </c>
    </row>
    <row r="65">
      <c r="K65" t="inlineStr"/>
      <c r="L65" t="inlineStr"/>
      <c r="M65" t="inlineStr"/>
      <c r="N65" t="n">
        <v>0</v>
      </c>
    </row>
    <row r="66">
      <c r="K66" t="inlineStr"/>
      <c r="L66" t="inlineStr"/>
      <c r="M66" t="inlineStr"/>
      <c r="N66" t="n">
        <v>0</v>
      </c>
    </row>
    <row r="67">
      <c r="K67" t="inlineStr"/>
      <c r="L67" t="inlineStr"/>
      <c r="M67" t="inlineStr"/>
      <c r="N67" t="n">
        <v>0</v>
      </c>
    </row>
    <row r="68">
      <c r="K68" t="inlineStr"/>
      <c r="L68" t="inlineStr"/>
      <c r="M68" t="inlineStr"/>
      <c r="N68" t="n">
        <v>0</v>
      </c>
    </row>
    <row r="69">
      <c r="K69" t="inlineStr"/>
      <c r="L69" t="inlineStr"/>
      <c r="M69" t="inlineStr"/>
      <c r="N69" t="n">
        <v>0</v>
      </c>
    </row>
    <row r="70">
      <c r="K70" t="inlineStr"/>
      <c r="L70" t="inlineStr"/>
      <c r="M70" t="inlineStr"/>
      <c r="N70" t="n">
        <v>0</v>
      </c>
    </row>
    <row r="71">
      <c r="K71" t="inlineStr"/>
      <c r="L71" t="inlineStr"/>
      <c r="M71" t="inlineStr"/>
      <c r="N71" t="n">
        <v>0</v>
      </c>
    </row>
    <row r="72">
      <c r="K72" t="inlineStr"/>
      <c r="L72" t="inlineStr"/>
      <c r="M72" t="inlineStr"/>
      <c r="N72" t="n">
        <v>0</v>
      </c>
    </row>
    <row r="73">
      <c r="K73" t="inlineStr"/>
      <c r="L73" t="inlineStr"/>
      <c r="M73" t="inlineStr"/>
      <c r="N73" t="n">
        <v>0</v>
      </c>
    </row>
    <row r="74">
      <c r="K74" t="inlineStr"/>
      <c r="L74" t="inlineStr"/>
      <c r="M74" t="inlineStr"/>
      <c r="N74" t="n">
        <v>0</v>
      </c>
    </row>
    <row r="75">
      <c r="K75" t="inlineStr"/>
      <c r="L75" t="inlineStr"/>
      <c r="M75" t="inlineStr"/>
      <c r="N75" t="n">
        <v>0</v>
      </c>
    </row>
    <row r="76">
      <c r="K76" t="inlineStr"/>
      <c r="L76" t="inlineStr"/>
      <c r="M76" t="inlineStr"/>
      <c r="N76" t="n">
        <v>0</v>
      </c>
    </row>
    <row r="77">
      <c r="K77" t="inlineStr"/>
      <c r="L77" t="inlineStr"/>
      <c r="M77" t="inlineStr"/>
      <c r="N77" t="n">
        <v>0</v>
      </c>
    </row>
    <row r="78">
      <c r="K78" t="inlineStr"/>
      <c r="L78" t="inlineStr"/>
      <c r="M78" t="inlineStr"/>
      <c r="N78" t="n">
        <v>0</v>
      </c>
    </row>
    <row r="79">
      <c r="K79" t="inlineStr"/>
      <c r="L79" t="inlineStr"/>
      <c r="M79" t="inlineStr"/>
      <c r="N79" t="n">
        <v>0</v>
      </c>
    </row>
    <row r="80">
      <c r="K80" t="inlineStr"/>
      <c r="L80" t="inlineStr"/>
      <c r="M80" t="inlineStr"/>
      <c r="N80" t="n">
        <v>0</v>
      </c>
    </row>
    <row r="81">
      <c r="K81" t="inlineStr"/>
      <c r="L81" t="inlineStr"/>
      <c r="M81" t="inlineStr"/>
      <c r="N81" t="n">
        <v>0</v>
      </c>
    </row>
    <row r="82">
      <c r="K82" t="inlineStr"/>
      <c r="L82" t="inlineStr"/>
      <c r="M82" t="inlineStr"/>
      <c r="N82" t="n">
        <v>0</v>
      </c>
    </row>
    <row r="83">
      <c r="K83" t="inlineStr"/>
      <c r="L83" t="inlineStr"/>
      <c r="M83" t="inlineStr"/>
      <c r="N83" t="n">
        <v>0</v>
      </c>
    </row>
    <row r="84">
      <c r="K84" t="inlineStr"/>
      <c r="L84" t="inlineStr"/>
      <c r="M84" t="inlineStr"/>
      <c r="N84" t="n">
        <v>0</v>
      </c>
    </row>
    <row r="85">
      <c r="K85" t="inlineStr"/>
      <c r="L85" t="inlineStr"/>
      <c r="M85" t="inlineStr"/>
      <c r="N85" t="n">
        <v>0</v>
      </c>
    </row>
    <row r="86">
      <c r="K86" t="inlineStr"/>
      <c r="L86" t="inlineStr"/>
      <c r="M86" t="inlineStr"/>
      <c r="N86" t="n">
        <v>0</v>
      </c>
    </row>
    <row r="87">
      <c r="K87" t="inlineStr"/>
      <c r="L87" t="inlineStr"/>
      <c r="M87" t="inlineStr"/>
      <c r="N87" t="n">
        <v>0</v>
      </c>
    </row>
    <row r="88">
      <c r="K88" t="inlineStr"/>
      <c r="L88" t="inlineStr"/>
      <c r="M88" t="inlineStr"/>
      <c r="N88" t="n">
        <v>0</v>
      </c>
    </row>
    <row r="89">
      <c r="K89" t="inlineStr"/>
      <c r="L89" t="inlineStr"/>
      <c r="M89" t="inlineStr"/>
      <c r="N89" t="n">
        <v>0</v>
      </c>
    </row>
    <row r="90">
      <c r="K90" t="inlineStr"/>
      <c r="L90" t="inlineStr"/>
      <c r="M90" t="inlineStr"/>
      <c r="N90" t="n">
        <v>0</v>
      </c>
    </row>
    <row r="91">
      <c r="K91" t="inlineStr"/>
      <c r="L91" t="inlineStr"/>
      <c r="M91" t="inlineStr"/>
      <c r="N91" t="n">
        <v>0</v>
      </c>
    </row>
    <row r="92">
      <c r="K92" t="inlineStr"/>
      <c r="L92" t="inlineStr"/>
      <c r="M92" t="inlineStr"/>
      <c r="N92" t="n">
        <v>0</v>
      </c>
    </row>
    <row r="93">
      <c r="K93" t="inlineStr"/>
      <c r="L93" t="inlineStr"/>
      <c r="M93" t="inlineStr"/>
      <c r="N93" t="n">
        <v>0</v>
      </c>
    </row>
    <row r="94">
      <c r="K94" t="inlineStr"/>
      <c r="L94" t="inlineStr"/>
      <c r="M94" t="inlineStr"/>
      <c r="N94" t="n">
        <v>0</v>
      </c>
    </row>
    <row r="95">
      <c r="K95" t="inlineStr"/>
      <c r="L95" t="inlineStr"/>
      <c r="M95" t="inlineStr"/>
      <c r="N95" t="n">
        <v>0</v>
      </c>
    </row>
    <row r="96">
      <c r="K96" t="inlineStr"/>
      <c r="L96" t="inlineStr"/>
      <c r="M96" t="inlineStr"/>
      <c r="N96" t="n">
        <v>0</v>
      </c>
    </row>
    <row r="97">
      <c r="K97" t="inlineStr"/>
      <c r="L97" t="inlineStr"/>
      <c r="M97" t="inlineStr"/>
      <c r="N97" t="n">
        <v>0</v>
      </c>
    </row>
    <row r="98">
      <c r="K98" t="inlineStr"/>
      <c r="L98" t="inlineStr"/>
      <c r="M98" t="inlineStr"/>
      <c r="N98" t="n">
        <v>0</v>
      </c>
    </row>
    <row r="99">
      <c r="K99" t="inlineStr"/>
      <c r="L99" t="inlineStr"/>
      <c r="M99" t="inlineStr"/>
      <c r="N99" t="n">
        <v>0</v>
      </c>
    </row>
    <row r="100">
      <c r="K100" t="inlineStr"/>
      <c r="L100" t="inlineStr"/>
      <c r="M100" t="inlineStr"/>
      <c r="N100" t="n">
        <v>0</v>
      </c>
    </row>
    <row r="101">
      <c r="K101" t="inlineStr"/>
      <c r="L101" t="inlineStr"/>
      <c r="M101" t="inlineStr"/>
      <c r="N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Metric</t>
        </is>
      </c>
      <c r="B1" t="inlineStr">
        <is>
          <t>Formula</t>
        </is>
      </c>
      <c r="C1" t="inlineStr">
        <is>
          <t>Value</t>
        </is>
      </c>
    </row>
    <row r="2">
      <c r="A2" t="inlineStr">
        <is>
          <t>Committed SP</t>
        </is>
      </c>
      <c r="B2">
        <f>SUMIFS(Sprint_Data!F:F,Sprint_Data!G:G,"Y")</f>
        <v/>
      </c>
      <c r="C2">
        <f>SUMIFS(Sprint_Data!F:F,Sprint_Data!G:G,"Y")</f>
        <v/>
      </c>
    </row>
    <row r="3">
      <c r="A3" t="inlineStr">
        <is>
          <t>Completed SP</t>
        </is>
      </c>
      <c r="B3">
        <f>SUMIFS(Sprint_Data!F:F,Sprint_Data!H:H,"Y")</f>
        <v/>
      </c>
      <c r="C3">
        <f>SUMIFS(Sprint_Data!F:F,Sprint_Data!H:H,"Y")</f>
        <v/>
      </c>
    </row>
    <row r="4">
      <c r="A4" t="inlineStr">
        <is>
          <t>Commitment %</t>
        </is>
      </c>
      <c r="B4">
        <f>IF(C2=0,0,C3/C2)</f>
        <v/>
      </c>
      <c r="C4">
        <f>IF(C2=0,0,C3/C2)</f>
        <v/>
      </c>
    </row>
    <row r="5">
      <c r="A5" t="inlineStr">
        <is>
          <t>Committed Stories</t>
        </is>
      </c>
      <c r="B5">
        <f>COUNTIF(Sprint_Data!G:G,"Y")</f>
        <v/>
      </c>
      <c r="C5">
        <f>COUNTIF(Sprint_Data!G:G,"Y")</f>
        <v/>
      </c>
    </row>
    <row r="6">
      <c r="A6" t="inlineStr">
        <is>
          <t>Carry Stories</t>
        </is>
      </c>
      <c r="B6">
        <f>COUNTIF(Sprint_Data!J:J,"Y")</f>
        <v/>
      </c>
      <c r="C6">
        <f>COUNTIF(Sprint_Data!J:J,"Y")</f>
        <v/>
      </c>
    </row>
    <row r="7">
      <c r="A7" t="inlineStr">
        <is>
          <t>Carry %</t>
        </is>
      </c>
      <c r="B7">
        <f>IF(C5=0,0,C6/C5)</f>
        <v/>
      </c>
      <c r="C7">
        <f>IF(C5=0,0,C6/C5)</f>
        <v/>
      </c>
    </row>
    <row r="8">
      <c r="A8" t="inlineStr">
        <is>
          <t>Completed Stories</t>
        </is>
      </c>
      <c r="B8">
        <f>COUNTIF(Sprint_Data!H:H,"Y")</f>
        <v/>
      </c>
      <c r="C8">
        <f>COUNTIF(Sprint_Data!H:H,"Y")</f>
        <v/>
      </c>
    </row>
    <row r="9">
      <c r="A9" t="inlineStr">
        <is>
          <t>Prod Ready Stories</t>
        </is>
      </c>
      <c r="B9">
        <f>COUNTIF(Sprint_Data!I:I,"Y")</f>
        <v/>
      </c>
      <c r="C9">
        <f>COUNTIF(Sprint_Data!I:I,"Y")</f>
        <v/>
      </c>
    </row>
    <row r="10">
      <c r="A10" t="inlineStr">
        <is>
          <t>Prod Ready %</t>
        </is>
      </c>
      <c r="B10">
        <f>IF(C8=0,0,C9/C8)</f>
        <v/>
      </c>
      <c r="C10">
        <f>IF(C8=0,0,C9/C8)</f>
        <v/>
      </c>
    </row>
    <row r="11">
      <c r="A11" t="inlineStr">
        <is>
          <t>Avg Cycle Time</t>
        </is>
      </c>
      <c r="B11">
        <f>AVERAGE(IF((Sprint_Data!L2:L101&lt;&gt;"")*(Sprint_Data!M2:M101&lt;&gt;""),Sprint_Data!M2:M101-Sprint_Data!L2:L101))</f>
        <v/>
      </c>
      <c r="C11">
        <f>AVERAGE(IF((Sprint_Data!L2:L101&lt;&gt;"")*(Sprint_Data!M2:M101&lt;&gt;""),Sprint_Data!M2:M101-Sprint_Data!L2:L101))</f>
        <v/>
      </c>
    </row>
    <row r="12">
      <c r="A12" t="inlineStr">
        <is>
          <t>Avg Lead Time</t>
        </is>
      </c>
      <c r="B12">
        <f>AVERAGE(IF((Sprint_Data!K2:K101&lt;&gt;"")*(Sprint_Data!M2:M101&lt;&gt;""),Sprint_Data!M2:M101-Sprint_Data!K2:K101))</f>
        <v/>
      </c>
      <c r="C12">
        <f>AVERAGE(IF((Sprint_Data!K2:K101&lt;&gt;"")*(Sprint_Data!M2:M101&lt;&gt;""),Sprint_Data!M2:M101-Sprint_Data!K2:K101))</f>
        <v/>
      </c>
    </row>
    <row r="13">
      <c r="A13" t="inlineStr">
        <is>
          <t>Avg Blocked Days</t>
        </is>
      </c>
      <c r="B13">
        <f>AVERAGE(Sprint_Data!N2:N101)</f>
        <v/>
      </c>
      <c r="C13">
        <f>AVERAGE(Sprint_Data!N2:N101)</f>
        <v/>
      </c>
    </row>
    <row r="14">
      <c r="A14" t="inlineStr">
        <is>
          <t>Unplanned Stories</t>
        </is>
      </c>
      <c r="B14">
        <f>COUNTIF(Sprint_Data!O:O,"Y")</f>
        <v/>
      </c>
      <c r="C14">
        <f>COUNTIF(Sprint_Data!O:O,"Y")</f>
        <v/>
      </c>
    </row>
    <row r="15">
      <c r="A15" t="inlineStr">
        <is>
          <t>Unplanned %</t>
        </is>
      </c>
      <c r="B15">
        <f>IF(C8=0,0,C14/C8)</f>
        <v/>
      </c>
      <c r="C15">
        <f>IF(C8=0,0,C14/C8)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Engineering Predictability Dashboard</t>
        </is>
      </c>
    </row>
    <row r="3">
      <c r="A3" s="3" t="inlineStr">
        <is>
          <t>Commitment %</t>
        </is>
      </c>
      <c r="B3">
        <f>Metrics!C4</f>
        <v/>
      </c>
      <c r="D3" s="3" t="inlineStr">
        <is>
          <t>Delivery Predictability Index</t>
        </is>
      </c>
    </row>
    <row r="4">
      <c r="A4" s="3" t="inlineStr">
        <is>
          <t>Carry-over %</t>
        </is>
      </c>
      <c r="B4">
        <f>Metrics!C7</f>
        <v/>
      </c>
      <c r="D4">
        <f>ROUND((B3*0.30)+((1-B4)*0.25)+(B5*0.20)+(MAX(0,1-(B6/6))*0.15)+((1-B9)*0.10),2)</f>
        <v/>
      </c>
    </row>
    <row r="5">
      <c r="A5" s="3" t="inlineStr">
        <is>
          <t>Prod Ready %</t>
        </is>
      </c>
      <c r="B5">
        <f>Metrics!C10</f>
        <v/>
      </c>
    </row>
    <row r="6">
      <c r="A6" s="3" t="inlineStr">
        <is>
          <t>Avg Cycle Time</t>
        </is>
      </c>
      <c r="B6">
        <f>Metrics!C11</f>
        <v/>
      </c>
    </row>
    <row r="7">
      <c r="A7" s="3" t="inlineStr">
        <is>
          <t>Avg Lead Time</t>
        </is>
      </c>
      <c r="B7">
        <f>Metrics!C12</f>
        <v/>
      </c>
    </row>
    <row r="8">
      <c r="A8" s="3" t="inlineStr">
        <is>
          <t>Avg Blocked Days</t>
        </is>
      </c>
      <c r="B8">
        <f>Metrics!C13</f>
        <v/>
      </c>
    </row>
    <row r="9">
      <c r="A9" s="3" t="inlineStr">
        <is>
          <t>Unplanned %</t>
        </is>
      </c>
      <c r="B9">
        <f>Metrics!C15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Team</t>
        </is>
      </c>
      <c r="B1" s="1" t="inlineStr">
        <is>
          <t>Capacity(days)</t>
        </is>
      </c>
      <c r="C1" s="1" t="inlineStr">
        <is>
          <t>Planned SP</t>
        </is>
      </c>
      <c r="D1" s="1" t="inlineStr">
        <is>
          <t>Delivered SP</t>
        </is>
      </c>
      <c r="E1" s="1" t="inlineStr">
        <is>
          <t>Predictability</t>
        </is>
      </c>
      <c r="F1" s="1" t="inlineStr">
        <is>
          <t>Primary Bottleneck</t>
        </is>
      </c>
    </row>
    <row r="2">
      <c r="A2" t="inlineStr">
        <is>
          <t>Client</t>
        </is>
      </c>
      <c r="B2" t="inlineStr"/>
      <c r="C2" t="inlineStr"/>
      <c r="D2" t="inlineStr"/>
      <c r="E2" t="inlineStr"/>
      <c r="F2" t="inlineStr"/>
    </row>
    <row r="3">
      <c r="A3" t="inlineStr">
        <is>
          <t>Gateway</t>
        </is>
      </c>
      <c r="B3" t="inlineStr"/>
      <c r="C3" t="inlineStr"/>
      <c r="D3" t="inlineStr"/>
      <c r="E3" t="inlineStr"/>
      <c r="F3" t="inlineStr"/>
    </row>
    <row r="4">
      <c r="A4" t="inlineStr">
        <is>
          <t>QA</t>
        </is>
      </c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Waiting On</t>
        </is>
      </c>
      <c r="B1" s="1" t="inlineStr">
        <is>
          <t>Occurrences</t>
        </is>
      </c>
      <c r="C1" s="1" t="inlineStr">
        <is>
          <t>Avg Days Lost</t>
        </is>
      </c>
      <c r="D1" s="1" t="inlineStr">
        <is>
          <t>Action</t>
        </is>
      </c>
    </row>
    <row r="2">
      <c r="A2" t="inlineStr">
        <is>
          <t>Gateway Review</t>
        </is>
      </c>
      <c r="B2" t="inlineStr"/>
      <c r="C2" t="inlineStr"/>
      <c r="D2" t="inlineStr"/>
    </row>
    <row r="3">
      <c r="A3" t="inlineStr">
        <is>
          <t>QA</t>
        </is>
      </c>
      <c r="B3" t="inlineStr"/>
      <c r="C3" t="inlineStr"/>
      <c r="D3" t="inlineStr"/>
    </row>
    <row r="4">
      <c r="A4" t="inlineStr">
        <is>
          <t>Client</t>
        </is>
      </c>
      <c r="B4" t="inlineStr"/>
      <c r="C4" t="inlineStr"/>
      <c r="D4" t="inlineStr"/>
    </row>
    <row r="5">
      <c r="A5" t="inlineStr">
        <is>
          <t>Product</t>
        </is>
      </c>
      <c r="B5" t="inlineStr"/>
      <c r="C5" t="inlineStr"/>
      <c r="D5" t="inlineStr"/>
    </row>
    <row r="6">
      <c r="A6" t="inlineStr">
        <is>
          <t>Architecture</t>
        </is>
      </c>
      <c r="B6" t="inlineStr"/>
      <c r="C6" t="inlineStr"/>
      <c r="D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4" t="inlineStr">
        <is>
          <t>How to Use</t>
        </is>
      </c>
    </row>
    <row r="2">
      <c r="A2" t="inlineStr">
        <is>
          <t>1. Paste/export Jira stories into Sprint_Data.</t>
        </is>
      </c>
    </row>
    <row r="3">
      <c r="A3" t="inlineStr">
        <is>
          <t>2. Fill Team, Story Type, dates and flags.</t>
        </is>
      </c>
    </row>
    <row r="4">
      <c r="A4" t="inlineStr">
        <is>
          <t>3. Dashboard updates automatically.</t>
        </is>
      </c>
    </row>
    <row r="5">
      <c r="A5" t="inlineStr">
        <is>
          <t>4. Review DPI, Commitment, Carry-over, Cycle Time.</t>
        </is>
      </c>
    </row>
    <row r="6">
      <c r="A6" t="inlineStr">
        <is>
          <t>5. Investigate Team_Health and Bottlenecks for actions.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2026-07-21T17:17:43Z</dcterms:created>
  <dcterms:modified xmlns:dcterms="http://purl.org/dc/terms/" xmlns:xsi="http://www.w3.org/2001/XMLSchema-instance" xsi:type="dcterms:W3CDTF">2026-07-21T17:17:43Z</dcterms:modified>
</cp:coreProperties>
</file>